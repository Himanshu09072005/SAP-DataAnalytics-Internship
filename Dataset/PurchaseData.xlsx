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917" activeTab="6"/>
  </bookViews>
  <sheets>
    <sheet name="Pivot_Vendor" sheetId="4" r:id="rId1"/>
    <sheet name="Pivot_Material" sheetId="5" r:id="rId2"/>
    <sheet name="Pivot_PO_Count" sheetId="6" r:id="rId3"/>
    <sheet name="PurchaseData" sheetId="1" r:id="rId4"/>
    <sheet name="Analysis" sheetId="2" r:id="rId5"/>
    <sheet name="Vendor Summary| Vendor         " sheetId="3" r:id="rId6"/>
    <sheet name="Dashboard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<sst xmlns="http://schemas.openxmlformats.org/spreadsheetml/2006/main" count="108" uniqueCount="49">
  <si>
    <t>Vendor</t>
  </si>
  <si>
    <t>Sum of Total_Value</t>
  </si>
  <si>
    <t>ABC Chemicals</t>
  </si>
  <si>
    <t>Alivus</t>
  </si>
  <si>
    <t>Glenmark</t>
  </si>
  <si>
    <t>Gujarat Polymers</t>
  </si>
  <si>
    <t>Industrial Solvents</t>
  </si>
  <si>
    <t>Meghmani</t>
  </si>
  <si>
    <t>Reliance</t>
  </si>
  <si>
    <t>Upl</t>
  </si>
  <si>
    <t>Grand Total</t>
  </si>
  <si>
    <t>Material</t>
  </si>
  <si>
    <t>Sum of Quantity(Kg)</t>
  </si>
  <si>
    <t>Acetone</t>
  </si>
  <si>
    <t>Caustic Soda</t>
  </si>
  <si>
    <t>Ethanol</t>
  </si>
  <si>
    <t>Labels</t>
  </si>
  <si>
    <t>Packaging Boxes</t>
  </si>
  <si>
    <t>Paint Bucket</t>
  </si>
  <si>
    <t>Pigment</t>
  </si>
  <si>
    <t>Resin</t>
  </si>
  <si>
    <t>Sodium Hydroxide</t>
  </si>
  <si>
    <t>Solvent</t>
  </si>
  <si>
    <t>Number of Purchase Orders</t>
  </si>
  <si>
    <t>PO_ID</t>
  </si>
  <si>
    <t>Quantity(Kg)</t>
  </si>
  <si>
    <t>Unit_Price(/Kg)</t>
  </si>
  <si>
    <t>Purchase_Date</t>
  </si>
  <si>
    <t>Total_Value</t>
  </si>
  <si>
    <t>PO001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</si>
  <si>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</si>
  <si>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</si>
  <si>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</si>
  <si>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</si>
  <si>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</si>
  <si>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</si>
  <si>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</si>
  <si>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</si>
  <si>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</si>
  <si>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Metric</t>
  </si>
  <si>
    <t>Value</t>
  </si>
  <si>
    <t>Total Quantity</t>
  </si>
  <si>
    <t>Average Unit Price</t>
  </si>
  <si>
    <t>Highest Unit Price</t>
  </si>
  <si>
    <t>Lowest Unit Price</t>
  </si>
  <si>
    <t>Total Purchase Orders</t>
  </si>
  <si>
    <t>Overall Purchase Value</t>
  </si>
  <si>
    <t>Procurement Dashboard</t>
  </si>
  <si>
    <t>Total Purchase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</si>
</sst>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>
      <alignment vertical="center"/>
    </xf>
    <xf numFmtId="0" fontId="4" fillId="2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NumberFormat="1" applyFont="1" applyFill="1" applyBorder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6" xfId="0" applyNumberFormat="1" applyFont="1" applyBorder="1">
      <alignment vertical="center"/>
    </xf>
    <xf numFmtId="0" fontId="0" fillId="0" borderId="5" xfId="0" applyFont="1" applyBorder="1">
      <alignment vertical="center"/>
    </xf>
    <xf numFmtId="0" fontId="0" fillId="3" borderId="5" xfId="0" applyFont="1" applyFill="1" applyBorder="1">
      <alignment vertical="center"/>
    </xf>
    <xf numFmtId="0" fontId="4" fillId="2" borderId="7" xfId="0" applyFont="1" applyFill="1" applyBorder="1" applyAlignment="1">
      <alignment vertical="center" wrapText="1"/>
    </xf>
    <xf numFmtId="0" fontId="0" fillId="0" borderId="8" xfId="0" applyFont="1" applyBorder="1">
      <alignment vertical="center"/>
    </xf>
    <xf numFmtId="0" fontId="0" fillId="0" borderId="9" xfId="0" applyNumberFormat="1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80" fontId="0" fillId="0" borderId="0" xfId="0" applyNumberFormat="1" applyAlignment="1">
      <alignment vertical="center" wrapText="1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1">
    <dxf>
      <alignment wrapText="1"/>
    </dxf>
    <dxf>
      <alignment wrapText="1"/>
    </dxf>
    <dxf>
      <alignment wrapText="1"/>
    </dxf>
    <dxf>
      <alignment horizontal="right" wrapText="1"/>
    </dxf>
    <dxf>
      <alignment horizontal="right" wrapText="1"/>
    </dxf>
    <dxf>
      <numFmt numFmtId="180" formatCode="dd/mm/yyyy"/>
      <alignment wrapText="1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4" tint="-0.499984740745262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 style="thin">
          <color theme="4" tint="0.79998168889431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0"/>
        </bottom>
        <vertical style="thin">
          <color theme="0"/>
        </vertic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TableStylePreset8_Accent1" pivot="0" count="9" xr9:uid="{C16462FB-CDE6-4BB5-BAFA-1372A3CEEFCD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secondRowStripe" dxfId="17"/>
      <tableStyleElement type="firstColumnStripe" dxfId="16"/>
      <tableStyleElement type="secondColumnStripe" dxfId="15"/>
    </tableStyle>
    <tableStyle name="TableStylePreset11_Accent1" pivot="0" count="7" xr9:uid="{CD7BBC66-7B44-4B59-B880-05322B0760B7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40"/>
      <tableStyleElement type="totalRow" dxfId="39"/>
      <tableStyleElement type="firstRowStripe" dxfId="38"/>
      <tableStyleElement type="firstColumnStripe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[PurchaseData.xlsx]Pivot_Vendor!PivotTable1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Pivot_Vendor!$B$3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Pivot_Vendor!$A$4:$A$12</c:f>
              <c:strCache>
                <c:ptCount val="8"/>
                <c:pt idx="0">
                  <c:v>ABC Chemicals</c:v>
                </c:pt>
                <c:pt idx="1">
                  <c:v>Alivus</c:v>
                </c:pt>
                <c:pt idx="2">
                  <c:v>Glenmark</c:v>
                </c:pt>
                <c:pt idx="3">
                  <c:v>Gujarat Polymers</c:v>
                </c:pt>
                <c:pt idx="4">
                  <c:v>Industrial Solvents</c:v>
                </c:pt>
                <c:pt idx="5">
                  <c:v>Meghmani</c:v>
                </c:pt>
                <c:pt idx="6">
                  <c:v>Reliance</c:v>
                </c:pt>
                <c:pt idx="7">
                  <c:v>Upl</c:v>
                </c:pt>
              </c:strCache>
            </c:strRef>
          </c:cat>
          <c:val>
            <c:numRef>
              <c:f>Pivot_Vendor!$B$4:$B$12</c:f>
              <c:numCache>
                <c:formatCode>General</c:formatCode>
                <c:ptCount val="8"/>
                <c:pt idx="0">
                  <c:v>126000</c:v>
                </c:pt>
                <c:pt idx="1">
                  <c:v>124600</c:v>
                </c:pt>
                <c:pt idx="2">
                  <c:v>301500</c:v>
                </c:pt>
                <c:pt idx="3">
                  <c:v>152000</c:v>
                </c:pt>
                <c:pt idx="4">
                  <c:v>76000</c:v>
                </c:pt>
                <c:pt idx="5">
                  <c:v>40950</c:v>
                </c:pt>
                <c:pt idx="6">
                  <c:v>654000</c:v>
                </c:pt>
                <c:pt idx="7">
                  <c:v>15600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91459195"/>
        <c:axId val="963887514"/>
      </c:barChart>
      <c:catAx>
        <c:axId val="8914591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887514"/>
        <c:crosses val="autoZero"/>
        <c:auto val="1"/>
        <c:lblAlgn val="ctr"/>
        <c:lblOffset val="100"/>
        <c:noMultiLvlLbl val="0"/>
      </c:catAx>
      <c:valAx>
        <c:axId val="9638875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4591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[PurchaseData.xlsx]Pivot_Material!PivotTable2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Pivot_Material!$B$3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Pivot_Material!$A$4:$A$14</c:f>
              <c:strCache>
                <c:ptCount val="10"/>
                <c:pt idx="0">
                  <c:v>Acetone</c:v>
                </c:pt>
                <c:pt idx="1">
                  <c:v>Caustic Soda</c:v>
                </c:pt>
                <c:pt idx="2">
                  <c:v>Ethanol</c:v>
                </c:pt>
                <c:pt idx="3">
                  <c:v>Labels</c:v>
                </c:pt>
                <c:pt idx="4">
                  <c:v>Packaging Boxes</c:v>
                </c:pt>
                <c:pt idx="5">
                  <c:v>Paint Bucket</c:v>
                </c:pt>
                <c:pt idx="6">
                  <c:v>Pigment</c:v>
                </c:pt>
                <c:pt idx="7">
                  <c:v>Resin</c:v>
                </c:pt>
                <c:pt idx="8">
                  <c:v>Sodium Hydroxide</c:v>
                </c:pt>
                <c:pt idx="9">
                  <c:v>Solvent</c:v>
                </c:pt>
              </c:strCache>
            </c:strRef>
          </c:cat>
          <c:val>
            <c:numRef>
              <c:f>Pivot_Material!$B$4:$B$14</c:f>
              <c:numCache>
                <c:formatCode>General</c:formatCode>
                <c:ptCount val="10"/>
                <c:pt idx="0">
                  <c:v>300</c:v>
                </c:pt>
                <c:pt idx="1">
                  <c:v>650</c:v>
                </c:pt>
                <c:pt idx="2">
                  <c:v>900</c:v>
                </c:pt>
                <c:pt idx="3">
                  <c:v>2000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1000</c:v>
                </c:pt>
                <c:pt idx="8">
                  <c:v>1200</c:v>
                </c:pt>
                <c:pt idx="9">
                  <c:v>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90002983"/>
        <c:axId val="92753224"/>
      </c:barChart>
      <c:catAx>
        <c:axId val="290002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753224"/>
        <c:crosses val="autoZero"/>
        <c:auto val="1"/>
        <c:lblAlgn val="ctr"/>
        <c:lblOffset val="100"/>
        <c:noMultiLvlLbl val="0"/>
      </c:catAx>
      <c:valAx>
        <c:axId val="9275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00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Vendor Purchase Value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'Vendor Summary| Vendor         '!$C$1</c:f>
              <c:strCache>
                <c:ptCount val="1"/>
                <c:pt idx="0">
                  <c:v>Total_Value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'Vendor Summary| Vendor         '!$A$2:$B$11</c:f>
              <c:multiLvlStrCache>
                <c:ptCount val="10"/>
                <c:lvl>
                  <c:pt idx="0">
                    <c:v>ABC Chemicals</c:v>
                  </c:pt>
                  <c:pt idx="1">
                    <c:v>Gujarat Polymers</c:v>
                  </c:pt>
                  <c:pt idx="2">
                    <c:v>Industrial Solvents</c:v>
                  </c:pt>
                  <c:pt idx="3">
                    <c:v>ABC Chemicals</c:v>
                  </c:pt>
                  <c:pt idx="4">
                    <c:v>Gujarat Polymers</c:v>
                  </c:pt>
                  <c:pt idx="5">
                    <c:v>Meghmani</c:v>
                  </c:pt>
                  <c:pt idx="6">
                    <c:v>Upl</c:v>
                  </c:pt>
                  <c:pt idx="7">
                    <c:v>Alivus</c:v>
                  </c:pt>
                  <c:pt idx="8">
                    <c:v>Glenmark</c:v>
                  </c:pt>
                  <c:pt idx="9">
                    <c:v>Reliance</c:v>
                  </c:pt>
                </c:lvl>
                <c:lvl>
                  <c:pt idx="0">
                    <c:v>PO001</c:v>
                  </c:pt>
                  <c:pt idx="1">
                    <c:v>PO002</c:v>
                  </c:pt>
                  <c:pt idx="2">
                    <c:v>PO003</c:v>
                  </c:pt>
                  <c:pt idx="3">
                    <c:v>PO004</c:v>
                  </c:pt>
                  <c:pt idx="4">
                    <c:v>PO005</c:v>
                  </c:pt>
                  <c:pt idx="5">
                    <c:v>PO006</c:v>
                  </c:pt>
                  <c:pt idx="6">
                    <c:v>PO007</c:v>
                  </c:pt>
                  <c:pt idx="7">
                    <c:v>PO008</c:v>
                  </c:pt>
                  <c:pt idx="8">
                    <c:v>PO009</c:v>
                  </c:pt>
                  <c:pt idx="9">
                    <c:v>PO010</c:v>
                  </c:pt>
                </c:lvl>
              </c:multiLvlStrCache>
            </c:multiLvlStrRef>
          </c:cat>
          <c:val>
            <c:numRef>
              <c:f>'Vendor Summary| Vendor         '!$C$2:$C$11</c:f>
              <c:numCache>
                <c:formatCode>General</c:formatCode>
                <c:ptCount val="10"/>
                <c:pt idx="0">
                  <c:v>120000</c:v>
                </c:pt>
                <c:pt idx="1">
                  <c:v>125000</c:v>
                </c:pt>
                <c:pt idx="2">
                  <c:v>76000</c:v>
                </c:pt>
                <c:pt idx="3">
                  <c:v>6000</c:v>
                </c:pt>
                <c:pt idx="4">
                  <c:v>27000</c:v>
                </c:pt>
                <c:pt idx="5">
                  <c:v>40950</c:v>
                </c:pt>
                <c:pt idx="6">
                  <c:v>15600</c:v>
                </c:pt>
                <c:pt idx="7">
                  <c:v>124600</c:v>
                </c:pt>
                <c:pt idx="8">
                  <c:v>301500</c:v>
                </c:pt>
                <c:pt idx="9">
                  <c:v>654000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2475024"/>
        <c:axId val="282610637"/>
      </c:barChart>
      <c:catAx>
        <c:axId val="84247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610637"/>
        <c:crosses val="autoZero"/>
        <c:auto val="1"/>
        <c:lblAlgn val="ctr"/>
        <c:lblOffset val="100"/>
        <c:noMultiLvlLbl val="0"/>
      </c:catAx>
      <c:valAx>
        <c:axId val="2826106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4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ce98b1-ec98-440c-9d85-eeeac7bfd8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[PurchaseData.xlsx]Pivot_Vendor!PivotTable1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Pivot_Vendor!$B$3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Pivot_Vendor!$A$4:$A$12</c:f>
              <c:strCache>
                <c:ptCount val="8"/>
                <c:pt idx="0">
                  <c:v>ABC Chemicals</c:v>
                </c:pt>
                <c:pt idx="1">
                  <c:v>Alivus</c:v>
                </c:pt>
                <c:pt idx="2">
                  <c:v>Glenmark</c:v>
                </c:pt>
                <c:pt idx="3">
                  <c:v>Gujarat Polymers</c:v>
                </c:pt>
                <c:pt idx="4">
                  <c:v>Industrial Solvents</c:v>
                </c:pt>
                <c:pt idx="5">
                  <c:v>Meghmani</c:v>
                </c:pt>
                <c:pt idx="6">
                  <c:v>Reliance</c:v>
                </c:pt>
                <c:pt idx="7">
                  <c:v>Upl</c:v>
                </c:pt>
              </c:strCache>
            </c:strRef>
          </c:cat>
          <c:val>
            <c:numRef>
              <c:f>Pivot_Vendor!$B$4:$B$12</c:f>
              <c:numCache>
                <c:formatCode>General</c:formatCode>
                <c:ptCount val="8"/>
                <c:pt idx="0">
                  <c:v>126000</c:v>
                </c:pt>
                <c:pt idx="1">
                  <c:v>124600</c:v>
                </c:pt>
                <c:pt idx="2">
                  <c:v>301500</c:v>
                </c:pt>
                <c:pt idx="3">
                  <c:v>152000</c:v>
                </c:pt>
                <c:pt idx="4">
                  <c:v>76000</c:v>
                </c:pt>
                <c:pt idx="5">
                  <c:v>40950</c:v>
                </c:pt>
                <c:pt idx="6">
                  <c:v>654000</c:v>
                </c:pt>
                <c:pt idx="7">
                  <c:v>15600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91459195"/>
        <c:axId val="963887514"/>
      </c:barChart>
      <c:catAx>
        <c:axId val="8914591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887514"/>
        <c:crosses val="autoZero"/>
        <c:auto val="1"/>
        <c:lblAlgn val="ctr"/>
        <c:lblOffset val="100"/>
        <c:noMultiLvlLbl val="0"/>
      </c:catAx>
      <c:valAx>
        <c:axId val="9638875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4591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81f60a-072f-4107-aa2c-0c48f6ff78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[PurchaseData.xlsx]Pivot_Material!PivotTable2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Pivot_Material!$B$3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Pivot_Material!$A$4:$A$14</c:f>
              <c:strCache>
                <c:ptCount val="10"/>
                <c:pt idx="0">
                  <c:v>Acetone</c:v>
                </c:pt>
                <c:pt idx="1">
                  <c:v>Caustic Soda</c:v>
                </c:pt>
                <c:pt idx="2">
                  <c:v>Ethanol</c:v>
                </c:pt>
                <c:pt idx="3">
                  <c:v>Labels</c:v>
                </c:pt>
                <c:pt idx="4">
                  <c:v>Packaging Boxes</c:v>
                </c:pt>
                <c:pt idx="5">
                  <c:v>Paint Bucket</c:v>
                </c:pt>
                <c:pt idx="6">
                  <c:v>Pigment</c:v>
                </c:pt>
                <c:pt idx="7">
                  <c:v>Resin</c:v>
                </c:pt>
                <c:pt idx="8">
                  <c:v>Sodium Hydroxide</c:v>
                </c:pt>
                <c:pt idx="9">
                  <c:v>Solvent</c:v>
                </c:pt>
              </c:strCache>
            </c:strRef>
          </c:cat>
          <c:val>
            <c:numRef>
              <c:f>Pivot_Material!$B$4:$B$14</c:f>
              <c:numCache>
                <c:formatCode>General</c:formatCode>
                <c:ptCount val="10"/>
                <c:pt idx="0">
                  <c:v>300</c:v>
                </c:pt>
                <c:pt idx="1">
                  <c:v>650</c:v>
                </c:pt>
                <c:pt idx="2">
                  <c:v>900</c:v>
                </c:pt>
                <c:pt idx="3">
                  <c:v>2000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1000</c:v>
                </c:pt>
                <c:pt idx="8">
                  <c:v>1200</c:v>
                </c:pt>
                <c:pt idx="9">
                  <c:v>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90002983"/>
        <c:axId val="92753224"/>
      </c:barChart>
      <c:catAx>
        <c:axId val="290002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753224"/>
        <c:crosses val="autoZero"/>
        <c:auto val="1"/>
        <c:lblAlgn val="ctr"/>
        <c:lblOffset val="100"/>
        <c:noMultiLvlLbl val="0"/>
      </c:catAx>
      <c:valAx>
        <c:axId val="9275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00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65e744-3d99-44c1-b073-7f141035f6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10160</xdr:colOff>
      <xdr:row>6</xdr:row>
      <xdr:rowOff>160020</xdr:rowOff>
    </xdr:from>
    <xdr:to>
      <xdr:col>10</xdr:col>
      <xdr:colOff>568960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31115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566420</xdr:colOff>
      <xdr:row>6</xdr:row>
      <xdr:rowOff>160020</xdr:rowOff>
    </xdr:from>
    <xdr:to>
      <xdr:col>10</xdr:col>
      <xdr:colOff>515620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31115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40640</xdr:colOff>
      <xdr:row>5</xdr:row>
      <xdr:rowOff>114300</xdr:rowOff>
    </xdr:from>
    <xdr:to>
      <xdr:col>14</xdr:col>
      <xdr:colOff>599440</xdr:colOff>
      <xdr:row>20</xdr:row>
      <xdr:rowOff>114300</xdr:rowOff>
    </xdr:to>
    <xdr:graphicFrame>
      <xdr:nvGraphicFramePr>
        <xdr:cNvPr id="2" name="Chart 1"/>
        <xdr:cNvGraphicFramePr/>
      </xdr:nvGraphicFramePr>
      <xdr:xfrm>
        <a:off x="4787900" y="1028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312420</xdr:colOff>
      <xdr:row>10</xdr:row>
      <xdr:rowOff>0</xdr:rowOff>
    </xdr:from>
    <xdr:to>
      <xdr:col>7</xdr:col>
      <xdr:colOff>124460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312420" y="2004060"/>
        <a:ext cx="5130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312420</xdr:colOff>
      <xdr:row>10</xdr:row>
      <xdr:rowOff>7620</xdr:rowOff>
    </xdr:from>
    <xdr:to>
      <xdr:col>14</xdr:col>
      <xdr:colOff>208280</xdr:colOff>
      <xdr:row>25</xdr:row>
      <xdr:rowOff>7620</xdr:rowOff>
    </xdr:to>
    <xdr:graphicFrame>
      <xdr:nvGraphicFramePr>
        <xdr:cNvPr id="3" name="Chart 2"/>
        <xdr:cNvGraphicFramePr/>
      </xdr:nvGraphicFramePr>
      <xdr:xfrm>
        <a:off x="6240780" y="20116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2.8183101852" refreshedBy="hemna" recordCount="10">
  <cacheSource type="worksheet">
    <worksheetSource name="Table1"/>
  </cacheSource>
  <cacheFields count="7">
    <cacheField name="PO_ID" numFmtId="0">
      <sharedItems count="10">
        <s v="PO001"/>
        <s v="PO002"/>
        <s v="PO003"/>
        <s v="PO004"/>
        <s v="PO005"/>
        <s v="PO006"/>
        <s v="PO007"/>
        <s v="PO008"/>
        <s v="PO009"/>
        <s v="PO010"/>
      </sharedItems>
    </cacheField>
    <cacheField name="Vendor" numFmtId="0">
      <sharedItems count="8">
        <s v="ABC Chemicals"/>
        <s v="Gujarat Polymers"/>
        <s v="Industrial Solvents"/>
        <s v="Meghmani"/>
        <s v="Upl"/>
        <s v="Alivus"/>
        <s v="Glenmark"/>
        <s v="Reliance"/>
      </sharedItems>
    </cacheField>
    <cacheField name="Material" numFmtId="0">
      <sharedItems count="10">
        <s v="Resin"/>
        <s v="Pigment"/>
        <s v="Solvent"/>
        <s v="Labels"/>
        <s v="Paint Bucket"/>
        <s v="Caustic Soda"/>
        <s v="Acetone"/>
        <s v="Packaging Boxes"/>
        <s v="Ethanol"/>
        <s v="Sodium Hydroxide"/>
      </sharedItems>
    </cacheField>
    <cacheField name="Quantity(Kg)" numFmtId="0">
      <sharedItems containsSemiMixedTypes="0" containsString="0" containsNumber="1" containsInteger="1" minValue="300" maxValue="2000" count="10">
        <n v="1000"/>
        <n v="500"/>
        <n v="800"/>
        <n v="2000"/>
        <n v="600"/>
        <n v="650"/>
        <n v="300"/>
        <n v="700"/>
        <n v="900"/>
        <n v="1200"/>
      </sharedItems>
    </cacheField>
    <cacheField name="Unit_Price(/Kg)" numFmtId="0">
      <sharedItems containsSemiMixedTypes="0" containsString="0" containsNumber="1" containsInteger="1" minValue="3" maxValue="545" count="10">
        <n v="120"/>
        <n v="250"/>
        <n v="95"/>
        <n v="3"/>
        <n v="45"/>
        <n v="63"/>
        <n v="52"/>
        <n v="178"/>
        <n v="335"/>
        <n v="545"/>
      </sharedItems>
    </cacheField>
    <cacheField name="Purchase_Date" numFmtId="180">
      <sharedItems containsSemiMixedTypes="0" containsString="0" containsNonDate="0" containsDate="1" minDate="2026-07-01T00:00:00" maxDate="2026-07-07T00:00:00" count="7">
        <d v="2026-07-01T00:00:00"/>
        <d v="2026-07-02T00:00:00"/>
        <d v="2026-07-03T00:00:00"/>
        <d v="2026-07-04T00:00:00"/>
        <d v="2026-07-05T00:00:00"/>
        <d v="2026-07-06T00:00:00"/>
        <d v="2026-07-07T00:00:00"/>
      </sharedItems>
    </cacheField>
    <cacheField name="Total_Value" numFmtId="0">
      <sharedItems containsSemiMixedTypes="0" containsString="0" containsNumber="1" containsInteger="1" minValue="6000" maxValue="654000" count="10">
        <n v="120000"/>
        <n v="125000"/>
        <n v="76000"/>
        <n v="6000"/>
        <n v="27000"/>
        <n v="40950"/>
        <n v="15600"/>
        <n v="124600"/>
        <n v="301500"/>
        <n v="654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1"/>
    <x v="2"/>
  </r>
  <r>
    <x v="3"/>
    <x v="0"/>
    <x v="3"/>
    <x v="3"/>
    <x v="3"/>
    <x v="2"/>
    <x v="3"/>
  </r>
  <r>
    <x v="4"/>
    <x v="1"/>
    <x v="4"/>
    <x v="4"/>
    <x v="4"/>
    <x v="2"/>
    <x v="4"/>
  </r>
  <r>
    <x v="5"/>
    <x v="3"/>
    <x v="5"/>
    <x v="5"/>
    <x v="5"/>
    <x v="3"/>
    <x v="5"/>
  </r>
  <r>
    <x v="6"/>
    <x v="4"/>
    <x v="6"/>
    <x v="6"/>
    <x v="6"/>
    <x v="4"/>
    <x v="6"/>
  </r>
  <r>
    <x v="7"/>
    <x v="5"/>
    <x v="7"/>
    <x v="7"/>
    <x v="7"/>
    <x v="5"/>
    <x v="7"/>
  </r>
  <r>
    <x v="8"/>
    <x v="6"/>
    <x v="8"/>
    <x v="8"/>
    <x v="8"/>
    <x v="6"/>
    <x v="8"/>
  </r>
  <r>
    <x v="9"/>
    <x v="7"/>
    <x v="9"/>
    <x v="9"/>
    <x v="9"/>
    <x v="6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2" firstHeaderRow="1" firstDataRow="1" firstDataCol="1"/>
  <pivotFields count="7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9">
        <item x="0"/>
        <item x="5"/>
        <item x="6"/>
        <item x="1"/>
        <item x="2"/>
        <item x="3"/>
        <item x="7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8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11">
        <item x="3"/>
        <item x="6"/>
        <item x="4"/>
        <item x="5"/>
        <item x="2"/>
        <item x="0"/>
        <item x="7"/>
        <item x="1"/>
        <item x="8"/>
        <item x="9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Val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7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axis="axisRow" compact="0" showAll="0">
      <items count="11">
        <item x="6"/>
        <item x="5"/>
        <item x="8"/>
        <item x="3"/>
        <item x="7"/>
        <item x="4"/>
        <item x="1"/>
        <item x="0"/>
        <item x="9"/>
        <item x="2"/>
        <item t="default"/>
      </items>
    </pivotField>
    <pivotField dataField="1" compact="0" showAll="0">
      <items count="11">
        <item x="6"/>
        <item x="1"/>
        <item x="4"/>
        <item x="5"/>
        <item x="7"/>
        <item x="2"/>
        <item x="8"/>
        <item x="0"/>
        <item x="9"/>
        <item x="3"/>
        <item t="default"/>
      </items>
    </pivotField>
    <pivotField compact="0" showAll="0"/>
    <pivotField compact="0" numFmtId="180" showAll="0"/>
    <pivotField compact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(Kg)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2" firstHeaderRow="1" firstDataRow="1" firstDataCol="1"/>
  <pivotFields count="7"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9">
        <item x="0"/>
        <item x="5"/>
        <item x="6"/>
        <item x="1"/>
        <item x="2"/>
        <item x="3"/>
        <item x="7"/>
        <item x="4"/>
        <item t="default"/>
      </items>
    </pivotField>
    <pivotField compact="0" showAll="0"/>
    <pivotField compact="0" showAll="0"/>
    <pivotField compact="0" showAll="0"/>
    <pivotField compact="0" numFmtId="180" showAll="0"/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umber of Purchase Orders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11" totalsRowShown="0">
  <autoFilter xmlns:etc="http://www.wps.cn/officeDocument/2017/etCustomData" ref="A1:G11" etc:filterBottomFollowUsedRange="0"/>
  <sortState ref="A1:G11">
    <sortCondition ref="A1"/>
  </sortState>
  <tableColumns count="7">
    <tableColumn id="1" name="PO_ID" dataDxfId="0"/>
    <tableColumn id="2" name="Vendor" dataDxfId="1"/>
    <tableColumn id="3" name="Material" dataDxfId="2"/>
    <tableColumn id="4" name="Quantity(Kg)" dataDxfId="3"/>
    <tableColumn id="5" name="Unit_Price(/Kg)" dataDxfId="4"/>
    <tableColumn id="6" name="Purchase_Date" dataDxfId="5"/>
    <tableColumn id="7" name="Total_Value" dataDxfId="6">
      <calculatedColumnFormula>D2*E2</calculatedColumnFormula>
    </tableColumn>
  </tableColumns>
  <tableStyleInfo name="TableStylePreset11_Accent1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B7" totalsRowShown="0">
  <autoFilter xmlns:etc="http://www.wps.cn/officeDocument/2017/etCustomData" ref="A1:B7" etc:filterBottomFollowUsedRange="0"/>
  <tableColumns count="2">
    <tableColumn id="1" name="Metric"/>
    <tableColumn id="2" name="Value"/>
  </tableColumns>
  <tableStyleInfo name="TableStylePreset8_Accent1" showFirstColumn="1" showLastColumn="0" showRowStripes="0" showColumnStripes="0"/>
</table>
</file>

<file path=xl/tables/table3.xml><?xml version="1.0" encoding="utf-8"?>
<table xmlns="http://schemas.openxmlformats.org/spreadsheetml/2006/main" id="3" name="Table3" displayName="Table3" ref="A1:C11" totalsRowShown="0">
  <autoFilter xmlns:etc="http://www.wps.cn/officeDocument/2017/etCustomData" ref="A1:C11" etc:filterBottomFollowUsedRange="0"/>
  <tableColumns count="3">
    <tableColumn id="1" name="PO_ID"/>
    <tableColumn id="2" name="Vendor"/>
    <tableColumn id="3" name="Total_Value"/>
  </tableColumns>
  <tableStyleInfo name="TableStylePreset11_Accent1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M22" sqref="M22"/>
    </sheetView>
  </sheetViews>
  <sheetFormatPr defaultColWidth="8.88888888888889" defaultRowHeight="14.4" outlineLevelCol="1"/>
  <cols>
    <col min="1" max="1" width="17.2222222222222"/>
    <col min="2" max="2" width="19.1111111111111"/>
  </cols>
  <sheetData>
    <row r="3" spans="1:2">
      <c r="A3" t="s">
        <v>0</v>
      </c>
      <c r="B3" t="s">
        <v>1</v>
      </c>
    </row>
    <row r="4" spans="1:2">
      <c r="A4" t="s">
        <v>2</v>
      </c>
      <c r="B4">
        <v>126000</v>
      </c>
    </row>
    <row r="5" spans="1:2">
      <c r="A5" t="s">
        <v>3</v>
      </c>
      <c r="B5">
        <v>124600</v>
      </c>
    </row>
    <row r="6" spans="1:2">
      <c r="A6" t="s">
        <v>4</v>
      </c>
      <c r="B6">
        <v>301500</v>
      </c>
    </row>
    <row r="7" spans="1:2">
      <c r="A7" t="s">
        <v>5</v>
      </c>
      <c r="B7">
        <v>152000</v>
      </c>
    </row>
    <row r="8" spans="1:2">
      <c r="A8" t="s">
        <v>6</v>
      </c>
      <c r="B8">
        <v>76000</v>
      </c>
    </row>
    <row r="9" spans="1:2">
      <c r="A9" t="s">
        <v>7</v>
      </c>
      <c r="B9">
        <v>40950</v>
      </c>
    </row>
    <row r="10" spans="1:2">
      <c r="A10" t="s">
        <v>8</v>
      </c>
      <c r="B10">
        <v>654000</v>
      </c>
    </row>
    <row r="11" spans="1:2">
      <c r="A11" t="s">
        <v>9</v>
      </c>
      <c r="B11">
        <v>15600</v>
      </c>
    </row>
    <row r="12" spans="1:2">
      <c r="A12" t="s">
        <v>10</v>
      </c>
      <c r="B12">
        <v>1490650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M19" sqref="M19"/>
    </sheetView>
  </sheetViews>
  <sheetFormatPr defaultColWidth="8.88888888888889" defaultRowHeight="14.4" outlineLevelCol="1"/>
  <cols>
    <col min="1" max="1" width="17.1111111111111"/>
    <col min="2" max="2" width="20"/>
  </cols>
  <sheetData>
    <row r="3" spans="1:2">
      <c r="A3" t="s">
        <v>11</v>
      </c>
      <c r="B3" t="s">
        <v>12</v>
      </c>
    </row>
    <row r="4" spans="1:2">
      <c r="A4" t="s">
        <v>13</v>
      </c>
      <c r="B4">
        <v>300</v>
      </c>
    </row>
    <row r="5" spans="1:2">
      <c r="A5" t="s">
        <v>14</v>
      </c>
      <c r="B5">
        <v>650</v>
      </c>
    </row>
    <row r="6" spans="1:2">
      <c r="A6" t="s">
        <v>15</v>
      </c>
      <c r="B6">
        <v>900</v>
      </c>
    </row>
    <row r="7" spans="1:2">
      <c r="A7" t="s">
        <v>16</v>
      </c>
      <c r="B7">
        <v>2000</v>
      </c>
    </row>
    <row r="8" spans="1:2">
      <c r="A8" t="s">
        <v>17</v>
      </c>
      <c r="B8">
        <v>700</v>
      </c>
    </row>
    <row r="9" spans="1:2">
      <c r="A9" t="s">
        <v>18</v>
      </c>
      <c r="B9">
        <v>600</v>
      </c>
    </row>
    <row r="10" spans="1:2">
      <c r="A10" t="s">
        <v>19</v>
      </c>
      <c r="B10">
        <v>500</v>
      </c>
    </row>
    <row r="11" spans="1:2">
      <c r="A11" t="s">
        <v>20</v>
      </c>
      <c r="B11">
        <v>1000</v>
      </c>
    </row>
    <row r="12" spans="1:2">
      <c r="A12" t="s">
        <v>21</v>
      </c>
      <c r="B12">
        <v>1200</v>
      </c>
    </row>
    <row r="13" spans="1:2">
      <c r="A13" t="s">
        <v>22</v>
      </c>
      <c r="B13">
        <v>800</v>
      </c>
    </row>
    <row r="14" spans="1:2">
      <c r="A14" t="s">
        <v>10</v>
      </c>
      <c r="B14">
        <v>8650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J20" sqref="J20"/>
    </sheetView>
  </sheetViews>
  <sheetFormatPr defaultColWidth="8.88888888888889" defaultRowHeight="14.4" outlineLevelCol="1"/>
  <cols>
    <col min="1" max="1" width="17.2222222222222"/>
    <col min="2" max="2" width="26.7777777777778"/>
  </cols>
  <sheetData>
    <row r="3" spans="1:2">
      <c r="A3" t="s">
        <v>0</v>
      </c>
      <c r="B3" t="s">
        <v>23</v>
      </c>
    </row>
    <row r="4" spans="1:2">
      <c r="A4" t="s">
        <v>2</v>
      </c>
      <c r="B4">
        <v>2</v>
      </c>
    </row>
    <row r="5" spans="1:2">
      <c r="A5" t="s">
        <v>3</v>
      </c>
      <c r="B5">
        <v>1</v>
      </c>
    </row>
    <row r="6" spans="1:2">
      <c r="A6" t="s">
        <v>4</v>
      </c>
      <c r="B6">
        <v>1</v>
      </c>
    </row>
    <row r="7" spans="1:2">
      <c r="A7" t="s">
        <v>5</v>
      </c>
      <c r="B7">
        <v>2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1"/>
    </sheetView>
  </sheetViews>
  <sheetFormatPr defaultColWidth="8.88888888888889" defaultRowHeight="14.4" outlineLevelCol="6"/>
  <cols>
    <col min="1" max="1" width="6.22222222222222" customWidth="1"/>
    <col min="2" max="2" width="15.5555555555556" customWidth="1"/>
    <col min="3" max="3" width="17.1111111111111" customWidth="1"/>
    <col min="4" max="4" width="11.5555555555556" customWidth="1"/>
    <col min="5" max="5" width="13.7777777777778" customWidth="1"/>
    <col min="6" max="6" width="13.3333333333333" customWidth="1"/>
    <col min="7" max="7" width="11.8888888888889" customWidth="1"/>
  </cols>
  <sheetData>
    <row r="1" spans="1:7">
      <c r="A1" s="19" t="s">
        <v>24</v>
      </c>
      <c r="B1" s="19" t="s">
        <v>0</v>
      </c>
      <c r="C1" s="19" t="s">
        <v>11</v>
      </c>
      <c r="D1" s="19" t="s">
        <v>25</v>
      </c>
      <c r="E1" s="19" t="s">
        <v>26</v>
      </c>
      <c r="F1" s="19" t="s">
        <v>27</v>
      </c>
      <c r="G1" t="s">
        <v>28</v>
      </c>
    </row>
    <row r="2" spans="1:7">
      <c r="A2" s="20" t="s">
        <v>29</v>
      </c>
      <c r="B2" s="20" t="s">
        <v>2</v>
      </c>
      <c r="C2" s="20" t="s">
        <v>20</v>
      </c>
      <c r="D2" s="21">
        <v>1000</v>
      </c>
      <c r="E2" s="21">
        <v>120</v>
      </c>
      <c r="F2" s="22">
        <v>46204</v>
      </c>
      <c r="G2" s="23">
        <f t="shared" ref="G2:G11" si="0">D2*E2</f>
        <v>120000</v>
      </c>
    </row>
    <row r="3" spans="1:7">
      <c r="A3" s="20" t="s">
        <v>30</v>
      </c>
      <c r="B3" s="20" t="s">
        <v>5</v>
      </c>
      <c r="C3" s="20" t="s">
        <v>19</v>
      </c>
      <c r="D3" s="21">
        <v>500</v>
      </c>
      <c r="E3" s="21">
        <v>250</v>
      </c>
      <c r="F3" s="22">
        <v>46205</v>
      </c>
      <c r="G3" s="23">
        <f t="shared" si="0"/>
        <v>125000</v>
      </c>
    </row>
    <row r="4" spans="1:7">
      <c r="A4" s="20" t="s">
        <v>31</v>
      </c>
      <c r="B4" s="20" t="s">
        <v>6</v>
      </c>
      <c r="C4" s="20" t="s">
        <v>22</v>
      </c>
      <c r="D4" s="21">
        <v>800</v>
      </c>
      <c r="E4" s="21">
        <v>95</v>
      </c>
      <c r="F4" s="22">
        <v>46205</v>
      </c>
      <c r="G4" s="23">
        <f t="shared" si="0"/>
        <v>76000</v>
      </c>
    </row>
    <row r="5" spans="1:7">
      <c r="A5" s="20" t="s">
        <v>32</v>
      </c>
      <c r="B5" s="20" t="s">
        <v>2</v>
      </c>
      <c r="C5" s="20" t="s">
        <v>16</v>
      </c>
      <c r="D5" s="21">
        <v>2000</v>
      </c>
      <c r="E5" s="21">
        <v>3</v>
      </c>
      <c r="F5" s="22">
        <v>46206</v>
      </c>
      <c r="G5" s="23">
        <f t="shared" si="0"/>
        <v>6000</v>
      </c>
    </row>
    <row r="6" spans="1:7">
      <c r="A6" s="20" t="s">
        <v>33</v>
      </c>
      <c r="B6" s="20" t="s">
        <v>5</v>
      </c>
      <c r="C6" s="20" t="s">
        <v>18</v>
      </c>
      <c r="D6" s="21">
        <v>600</v>
      </c>
      <c r="E6" s="21">
        <v>45</v>
      </c>
      <c r="F6" s="22">
        <v>46206</v>
      </c>
      <c r="G6" s="23">
        <f t="shared" si="0"/>
        <v>27000</v>
      </c>
    </row>
    <row r="7" spans="1:7">
      <c r="A7" s="20" t="s">
        <v>34</v>
      </c>
      <c r="B7" t="s">
        <v>7</v>
      </c>
      <c r="C7" t="s">
        <v>14</v>
      </c>
      <c r="D7">
        <v>650</v>
      </c>
      <c r="E7">
        <v>63</v>
      </c>
      <c r="F7" s="22">
        <v>46207</v>
      </c>
      <c r="G7" s="23">
        <f t="shared" si="0"/>
        <v>40950</v>
      </c>
    </row>
    <row r="8" spans="1:7">
      <c r="A8" s="20" t="s">
        <v>35</v>
      </c>
      <c r="B8" t="s">
        <v>9</v>
      </c>
      <c r="C8" t="s">
        <v>13</v>
      </c>
      <c r="D8">
        <v>300</v>
      </c>
      <c r="E8">
        <v>52</v>
      </c>
      <c r="F8" s="22">
        <v>46208</v>
      </c>
      <c r="G8" s="23">
        <f t="shared" si="0"/>
        <v>15600</v>
      </c>
    </row>
    <row r="9" spans="1:7">
      <c r="A9" s="20" t="s">
        <v>36</v>
      </c>
      <c r="B9" t="s">
        <v>3</v>
      </c>
      <c r="C9" t="s">
        <v>17</v>
      </c>
      <c r="D9">
        <v>700</v>
      </c>
      <c r="E9">
        <v>178</v>
      </c>
      <c r="F9" s="22">
        <v>46209</v>
      </c>
      <c r="G9" s="23">
        <f t="shared" si="0"/>
        <v>124600</v>
      </c>
    </row>
    <row r="10" spans="1:7">
      <c r="A10" s="20" t="s">
        <v>37</v>
      </c>
      <c r="B10" t="s">
        <v>4</v>
      </c>
      <c r="C10" t="s">
        <v>15</v>
      </c>
      <c r="D10">
        <v>900</v>
      </c>
      <c r="E10">
        <v>335</v>
      </c>
      <c r="F10" s="22">
        <v>46210</v>
      </c>
      <c r="G10" s="23">
        <f t="shared" si="0"/>
        <v>301500</v>
      </c>
    </row>
    <row r="11" spans="1:7">
      <c r="A11" s="20" t="s">
        <v>38</v>
      </c>
      <c r="B11" t="s">
        <v>8</v>
      </c>
      <c r="C11" t="s">
        <v>21</v>
      </c>
      <c r="D11">
        <v>1200</v>
      </c>
      <c r="E11">
        <v>545</v>
      </c>
      <c r="F11" s="22">
        <v>46210</v>
      </c>
      <c r="G11" s="23">
        <f t="shared" si="0"/>
        <v>654000</v>
      </c>
    </row>
  </sheetData>
  <conditionalFormatting sqref="G2:G1048576">
    <cfRule type="cellIs" dxfId="7" priority="1" operator="greaterThan">
      <formula>100000</formula>
    </cfRule>
  </conditionalFormatting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K16" sqref="K16"/>
    </sheetView>
  </sheetViews>
  <sheetFormatPr defaultColWidth="8.88888888888889" defaultRowHeight="14.4" outlineLevelRow="6" outlineLevelCol="1"/>
  <cols>
    <col min="1" max="1" width="20.7777777777778" customWidth="1"/>
  </cols>
  <sheetData>
    <row r="1" spans="1:2">
      <c r="A1" s="18" t="s">
        <v>39</v>
      </c>
      <c r="B1" s="18" t="s">
        <v>40</v>
      </c>
    </row>
    <row r="2" spans="1:2">
      <c r="A2" t="s">
        <v>41</v>
      </c>
      <c r="B2">
        <f>SUM(PurchaseData!D2:D11)</f>
        <v>8650</v>
      </c>
    </row>
    <row r="3" spans="1:2">
      <c r="A3" t="s">
        <v>42</v>
      </c>
      <c r="B3">
        <f>AVERAGE(PurchaseData!E2:E11)</f>
        <v>168.6</v>
      </c>
    </row>
    <row r="4" spans="1:2">
      <c r="A4" t="s">
        <v>43</v>
      </c>
      <c r="B4">
        <f>MAX(PurchaseData!E2:E11)</f>
        <v>545</v>
      </c>
    </row>
    <row r="5" spans="1:2">
      <c r="A5" t="s">
        <v>44</v>
      </c>
      <c r="B5">
        <f>MIN(PurchaseData!E2:E11)</f>
        <v>3</v>
      </c>
    </row>
    <row r="6" spans="1:2">
      <c r="A6" t="s">
        <v>45</v>
      </c>
      <c r="B6">
        <f>COUNTA(PurchaseData!A2:A11)</f>
        <v>10</v>
      </c>
    </row>
    <row r="7" spans="1:2">
      <c r="A7" t="s">
        <v>46</v>
      </c>
      <c r="B7">
        <f>SUM(PurchaseData!G2:G11)</f>
        <v>1490650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2" sqref="C2"/>
    </sheetView>
  </sheetViews>
  <sheetFormatPr defaultColWidth="8.88888888888889" defaultRowHeight="14.4" outlineLevelCol="2"/>
  <cols>
    <col min="1" max="1" width="6.22222222222222" customWidth="1"/>
    <col min="2" max="2" width="15.5555555555556" customWidth="1"/>
    <col min="3" max="3" width="11.8888888888889" customWidth="1"/>
  </cols>
  <sheetData>
    <row r="1" spans="1:3">
      <c r="A1" s="5" t="s">
        <v>24</v>
      </c>
      <c r="B1" s="6" t="s">
        <v>0</v>
      </c>
      <c r="C1" s="7" t="s">
        <v>28</v>
      </c>
    </row>
    <row r="2" spans="1:3">
      <c r="A2" s="8" t="s">
        <v>29</v>
      </c>
      <c r="B2" s="9" t="s">
        <v>2</v>
      </c>
      <c r="C2" s="10">
        <v>120000</v>
      </c>
    </row>
    <row r="3" spans="1:3">
      <c r="A3" s="8" t="s">
        <v>30</v>
      </c>
      <c r="B3" s="11" t="s">
        <v>5</v>
      </c>
      <c r="C3" s="12">
        <v>125000</v>
      </c>
    </row>
    <row r="4" spans="1:3">
      <c r="A4" s="8" t="s">
        <v>31</v>
      </c>
      <c r="B4" s="9" t="s">
        <v>6</v>
      </c>
      <c r="C4" s="10">
        <v>76000</v>
      </c>
    </row>
    <row r="5" spans="1:3">
      <c r="A5" s="8" t="s">
        <v>32</v>
      </c>
      <c r="B5" s="11" t="s">
        <v>2</v>
      </c>
      <c r="C5" s="12">
        <v>6000</v>
      </c>
    </row>
    <row r="6" spans="1:3">
      <c r="A6" s="8" t="s">
        <v>33</v>
      </c>
      <c r="B6" s="9" t="s">
        <v>5</v>
      </c>
      <c r="C6" s="10">
        <v>27000</v>
      </c>
    </row>
    <row r="7" spans="1:3">
      <c r="A7" s="8" t="s">
        <v>34</v>
      </c>
      <c r="B7" s="13" t="s">
        <v>7</v>
      </c>
      <c r="C7" s="12">
        <v>40950</v>
      </c>
    </row>
    <row r="8" spans="1:3">
      <c r="A8" s="8" t="s">
        <v>35</v>
      </c>
      <c r="B8" s="14" t="s">
        <v>9</v>
      </c>
      <c r="C8" s="10">
        <v>15600</v>
      </c>
    </row>
    <row r="9" spans="1:3">
      <c r="A9" s="8" t="s">
        <v>36</v>
      </c>
      <c r="B9" s="13" t="s">
        <v>3</v>
      </c>
      <c r="C9" s="12">
        <v>124600</v>
      </c>
    </row>
    <row r="10" spans="1:3">
      <c r="A10" s="8" t="s">
        <v>37</v>
      </c>
      <c r="B10" s="14" t="s">
        <v>4</v>
      </c>
      <c r="C10" s="10">
        <v>301500</v>
      </c>
    </row>
    <row r="11" spans="1:3">
      <c r="A11" s="15" t="s">
        <v>38</v>
      </c>
      <c r="B11" s="16" t="s">
        <v>8</v>
      </c>
      <c r="C11" s="17">
        <v>654000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I8" sqref="I8"/>
    </sheetView>
  </sheetViews>
  <sheetFormatPr defaultColWidth="8.88888888888889" defaultRowHeight="14.4" outlineLevelRow="5" outlineLevelCol="7"/>
  <cols>
    <col min="1" max="1" width="23.6666666666667" customWidth="1"/>
    <col min="2" max="2" width="9.44444444444444" customWidth="1"/>
    <col min="9" max="9" width="17.2222222222222"/>
    <col min="10" max="10" width="19.1111111111111"/>
  </cols>
  <sheetData>
    <row r="1" ht="23.4" spans="1:8">
      <c r="A1" s="1" t="s">
        <v>47</v>
      </c>
      <c r="B1" s="2"/>
      <c r="C1" s="2"/>
      <c r="D1" s="2"/>
      <c r="E1" s="2"/>
      <c r="F1" s="2"/>
      <c r="G1" s="2"/>
      <c r="H1" s="2"/>
    </row>
    <row r="3" ht="15.6" spans="1:2">
      <c r="A3" s="3" t="s">
        <v>48</v>
      </c>
      <c r="B3" s="4">
        <f>Analysis!B7</f>
        <v>1490650</v>
      </c>
    </row>
    <row r="4" ht="15.6" spans="1:2">
      <c r="A4" s="3" t="s">
        <v>45</v>
      </c>
      <c r="B4" s="4">
        <f>Analysis!B6</f>
        <v>10</v>
      </c>
    </row>
    <row r="5" ht="15.6" spans="1:2">
      <c r="A5" s="3" t="s">
        <v>43</v>
      </c>
      <c r="B5" s="4">
        <f>Analysis!B4</f>
        <v>545</v>
      </c>
    </row>
    <row r="6" ht="15.6" spans="1:2">
      <c r="A6" s="3" t="s">
        <v>42</v>
      </c>
      <c r="B6" s="4">
        <f>Analysis!B3</f>
        <v>168.6</v>
      </c>
    </row>
  </sheetData>
  <mergeCells count="1">
    <mergeCell ref="A1:H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Pivot_Vendor</vt:lpstr>
      <vt:lpstr>Pivot_Material</vt:lpstr>
      <vt:lpstr>Pivot_PO_Count</vt:lpstr>
      <vt:lpstr>PurchaseData</vt:lpstr>
      <vt:lpstr>Analysis</vt:lpstr>
      <vt:lpstr>Vendor Summary| Vendor         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hemna</dc:creator>
  <cp:lastModifiedBy>Himanshu Patil</cp:lastModifiedBy>
  <dcterms:created xsi:type="dcterms:W3CDTF">2026-07-03T13:12:00Z</dcterms:created>
  <dcterms:modified xsi:type="dcterms:W3CDTF">2026-07-11T13:45:39Z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0D4BE9E074674E00A31AE4E0FCD23198_11</vt:lpwstr>
  </property>
  <property fmtid="{D5CDD505-2E9C-101B-9397-08002B2CF9AE}" pid="3" name="KSOProductBuildVer">
    <vt:lpwstr>1033-12.2.0.23206</vt:lpwstr>
  </property>
</Properties>
</file>